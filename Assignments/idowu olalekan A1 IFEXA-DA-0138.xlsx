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5F8FBA6-31A6-4679-89FB-D95B32E66BE0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Sales_Data" sheetId="1" r:id="rId1"/>
    <sheet name="Product_Lookup" sheetId="2" r:id="rId2"/>
    <sheet name="Lesson_Guide" sheetId="3" r:id="rId3"/>
  </sheets>
  <definedNames>
    <definedName name="_xlnm._FilterDatabase" localSheetId="1" hidden="1">Product_Lookup!$A$1:$D$9</definedName>
    <definedName name="_xlnm._FilterDatabase" localSheetId="0" hidden="1">Sales_Data!$A$1:$N$61</definedName>
  </definedNames>
  <calcPr calcId="191029"/>
</workbook>
</file>

<file path=xl/calcChain.xml><?xml version="1.0" encoding="utf-8"?>
<calcChain xmlns="http://schemas.openxmlformats.org/spreadsheetml/2006/main">
  <c r="Q3" i="1" l="1"/>
  <c r="K76" i="1"/>
  <c r="M72" i="1"/>
  <c r="M70" i="1"/>
  <c r="I67" i="1"/>
  <c r="M67" i="1"/>
  <c r="I73" i="1"/>
  <c r="I71" i="1"/>
  <c r="I69" i="1"/>
  <c r="Q7" i="1"/>
  <c r="Q5" i="1"/>
  <c r="P62" i="1"/>
  <c r="H62" i="1"/>
  <c r="P2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3" i="1"/>
  <c r="P4" i="1"/>
  <c r="P5" i="1"/>
  <c r="P6" i="1"/>
  <c r="P7" i="1"/>
  <c r="P8" i="1"/>
</calcChain>
</file>

<file path=xl/sharedStrings.xml><?xml version="1.0" encoding="utf-8"?>
<sst xmlns="http://schemas.openxmlformats.org/spreadsheetml/2006/main" count="690" uniqueCount="200">
  <si>
    <t>Order_ID</t>
  </si>
  <si>
    <t>Order_Date</t>
  </si>
  <si>
    <t>Customer_ID</t>
  </si>
  <si>
    <t>City</t>
  </si>
  <si>
    <t>Product_ID</t>
  </si>
  <si>
    <t>Product_Name</t>
  </si>
  <si>
    <t>Category</t>
  </si>
  <si>
    <t>Quantity</t>
  </si>
  <si>
    <t>Unit_Price_NGN</t>
  </si>
  <si>
    <t>Discount_Rate</t>
  </si>
  <si>
    <t>Sales_Channel</t>
  </si>
  <si>
    <t>Payment_Method</t>
  </si>
  <si>
    <t>Salesperson</t>
  </si>
  <si>
    <t>Order_Status</t>
  </si>
  <si>
    <t>ORD001</t>
  </si>
  <si>
    <t>CUST007</t>
  </si>
  <si>
    <t>Awka</t>
  </si>
  <si>
    <t>PR002</t>
  </si>
  <si>
    <t>Wireless Mouse</t>
  </si>
  <si>
    <t>Accessories</t>
  </si>
  <si>
    <t>WhatsApp</t>
  </si>
  <si>
    <t>Transfer</t>
  </si>
  <si>
    <t>Ifeoma</t>
  </si>
  <si>
    <t>Returned</t>
  </si>
  <si>
    <t>ORD002</t>
  </si>
  <si>
    <t>CUST033</t>
  </si>
  <si>
    <t>PR007</t>
  </si>
  <si>
    <t>Keyboard</t>
  </si>
  <si>
    <t>ORD003</t>
  </si>
  <si>
    <t>CUST018</t>
  </si>
  <si>
    <t>Abuja</t>
  </si>
  <si>
    <t>PR004</t>
  </si>
  <si>
    <t>Office Chair</t>
  </si>
  <si>
    <t>Furniture</t>
  </si>
  <si>
    <t>Referral</t>
  </si>
  <si>
    <t>Cash</t>
  </si>
  <si>
    <t>David</t>
  </si>
  <si>
    <t>Completed</t>
  </si>
  <si>
    <t>ORD004</t>
  </si>
  <si>
    <t>Kano</t>
  </si>
  <si>
    <t>PR006</t>
  </si>
  <si>
    <t>Notebook Pack</t>
  </si>
  <si>
    <t>Stationery</t>
  </si>
  <si>
    <t>Website</t>
  </si>
  <si>
    <t>Card</t>
  </si>
  <si>
    <t>Ada</t>
  </si>
  <si>
    <t>ORD005</t>
  </si>
  <si>
    <t>CUST030</t>
  </si>
  <si>
    <t>Walk-in</t>
  </si>
  <si>
    <t>ORD006</t>
  </si>
  <si>
    <t>CUST013</t>
  </si>
  <si>
    <t>Port Harcourt</t>
  </si>
  <si>
    <t>Chinedu</t>
  </si>
  <si>
    <t>ORD007</t>
  </si>
  <si>
    <t>PR005</t>
  </si>
  <si>
    <t>Desk Lamp</t>
  </si>
  <si>
    <t>Mariam</t>
  </si>
  <si>
    <t>ORD008</t>
  </si>
  <si>
    <t>CUST035</t>
  </si>
  <si>
    <t xml:space="preserve"> onitsha </t>
  </si>
  <si>
    <t>ORD009</t>
  </si>
  <si>
    <t>CUST004</t>
  </si>
  <si>
    <t>Enugu</t>
  </si>
  <si>
    <t>ORD010</t>
  </si>
  <si>
    <t>CUST014</t>
  </si>
  <si>
    <t>Pending</t>
  </si>
  <si>
    <t>ORD011</t>
  </si>
  <si>
    <t>PR003</t>
  </si>
  <si>
    <t>USB-C Hub</t>
  </si>
  <si>
    <t>ORD012</t>
  </si>
  <si>
    <t>CUST006</t>
  </si>
  <si>
    <t>Instagram</t>
  </si>
  <si>
    <t>ORD013</t>
  </si>
  <si>
    <t>POS</t>
  </si>
  <si>
    <t>ORD014</t>
  </si>
  <si>
    <t>CUST008</t>
  </si>
  <si>
    <t>PR001</t>
  </si>
  <si>
    <t>Laptop Stand</t>
  </si>
  <si>
    <t>ORD015</t>
  </si>
  <si>
    <t>PR008</t>
  </si>
  <si>
    <t>Monitor</t>
  </si>
  <si>
    <t>Electronics</t>
  </si>
  <si>
    <t>ORD016</t>
  </si>
  <si>
    <t>CUST001</t>
  </si>
  <si>
    <t>ORD017</t>
  </si>
  <si>
    <t>CUST016</t>
  </si>
  <si>
    <t>instagram</t>
  </si>
  <si>
    <t>ORD018</t>
  </si>
  <si>
    <t>CUST011</t>
  </si>
  <si>
    <t>ORD019</t>
  </si>
  <si>
    <t>CUST029</t>
  </si>
  <si>
    <t>ORD020</t>
  </si>
  <si>
    <t>CUST015</t>
  </si>
  <si>
    <t>ORD021</t>
  </si>
  <si>
    <t>Onitsha</t>
  </si>
  <si>
    <t>ORD022</t>
  </si>
  <si>
    <t>CUST027</t>
  </si>
  <si>
    <t>ORD023</t>
  </si>
  <si>
    <t>ORD024</t>
  </si>
  <si>
    <t xml:space="preserve"> </t>
  </si>
  <si>
    <t>ORD025</t>
  </si>
  <si>
    <t>ORD026</t>
  </si>
  <si>
    <t>CUST026</t>
  </si>
  <si>
    <t>ORD027</t>
  </si>
  <si>
    <t>CUST032</t>
  </si>
  <si>
    <t>Lagos</t>
  </si>
  <si>
    <t>ORD028</t>
  </si>
  <si>
    <t>ORD029</t>
  </si>
  <si>
    <t>CUST005</t>
  </si>
  <si>
    <t>ORD030</t>
  </si>
  <si>
    <t>CUST003</t>
  </si>
  <si>
    <t>ORD031</t>
  </si>
  <si>
    <t>ORD032</t>
  </si>
  <si>
    <t>ORD033</t>
  </si>
  <si>
    <t>CUST019</t>
  </si>
  <si>
    <t>ORD034</t>
  </si>
  <si>
    <t>CUST020</t>
  </si>
  <si>
    <t>ORD035</t>
  </si>
  <si>
    <t>ORD036</t>
  </si>
  <si>
    <t>ORD037</t>
  </si>
  <si>
    <t>ORD038</t>
  </si>
  <si>
    <t>CUST009</t>
  </si>
  <si>
    <t>ORD039</t>
  </si>
  <si>
    <t>CUST023</t>
  </si>
  <si>
    <t>completed</t>
  </si>
  <si>
    <t>ORD040</t>
  </si>
  <si>
    <t>CUST012</t>
  </si>
  <si>
    <t>ORD041</t>
  </si>
  <si>
    <t>CUST031</t>
  </si>
  <si>
    <t>ORD042</t>
  </si>
  <si>
    <t>ORD043</t>
  </si>
  <si>
    <t>CUST022</t>
  </si>
  <si>
    <t>ORD044</t>
  </si>
  <si>
    <t>CUST028</t>
  </si>
  <si>
    <t>ORD045</t>
  </si>
  <si>
    <t>ORD046</t>
  </si>
  <si>
    <t>ORD047</t>
  </si>
  <si>
    <t>ORD048</t>
  </si>
  <si>
    <t>ORD049</t>
  </si>
  <si>
    <t>ORD050</t>
  </si>
  <si>
    <t>ORD051</t>
  </si>
  <si>
    <t>CUST025</t>
  </si>
  <si>
    <t>ORD052</t>
  </si>
  <si>
    <t>CUST034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</si>
  <si>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</si>
  <si>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</si>
  <si>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</si>
  <si>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</si>
  <si>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</si>
  <si>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</si>
  <si>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</si>
  <si>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</si>
  <si>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CUST002</t>
  </si>
  <si>
    <t>IFEXA COHORT 2 — DAY 1 LESSON GUIDE</t>
  </si>
  <si>
    <t>Topic</t>
  </si>
  <si>
    <t>Introduction to Data Analysis with Excel: understanding, inspecting and summarising sales data</t>
  </si>
  <si>
    <t>Duration</t>
  </si>
  <si>
    <t>90–120 minutes</t>
  </si>
  <si>
    <t>Learning outcomes</t>
  </si>
  <si>
    <t>Students can identify rows/columns, explain records and fields, format data as a table, spot data-quality issues, and create basic summaries.</t>
  </si>
  <si>
    <t>Dataset</t>
  </si>
  <si>
    <t>Use the Sales_Data sheet. Product_Lookup is for a later lookup/relationship exercise.</t>
  </si>
  <si>
    <t>Part 1 — 10 min</t>
  </si>
  <si>
    <t>Introduce data analysis: ask a business question, inspect data, clean data, analyse, communicate insights.</t>
  </si>
  <si>
    <t>Part 2 — 15 min</t>
  </si>
  <si>
    <t>Explain rows vs columns, data types, unique Order_ID, categories, and why consistent values matter.</t>
  </si>
  <si>
    <t>Part 3 — 20 min</t>
  </si>
  <si>
    <t>Excel practice: select the data and press Ctrl+T to format as a table; confirm headers; turn on filters; freeze top row.</t>
  </si>
  <si>
    <t>Part 4 — 20 min</t>
  </si>
  <si>
    <t>Data quality hunt: find blank Customer_ID, missing Quantity, inconsistent city spelling/case, and inconsistent Order_Status capitalization.</t>
  </si>
  <si>
    <t>Part 5 — 20 min</t>
  </si>
  <si>
    <t>Add a Revenue column. Formula: =IF([@Quantity]=,,[@Quantity]*[@Unit_Price_NGN]*(1-[@Discount_Rate])). Explain the formula before filling down.</t>
  </si>
  <si>
    <t>Part 6 — 15 min</t>
  </si>
  <si>
    <t>Use SUM to total Revenue, COUNT/COUNTA to count records, and sort/filter by City, Category, and Order_Status.</t>
  </si>
  <si>
    <t>Class challenge</t>
  </si>
  <si>
    <t>Answer: Which city has the most orders? Which category appears most often? How many orders are Pending or Returned? What data-quality problems should be fixed before reporting?</t>
  </si>
  <si>
    <t>Homework</t>
  </si>
  <si>
    <t>Clean the obvious data-quality issues in a copy of the sheet, add Revenue, and submit 3 findings with evidence (numbers or filtered records). Do not overwrite the original.</t>
  </si>
  <si>
    <t>Instructor note</t>
  </si>
  <si>
    <t>This is a practice dataset with deliberately introduced quality issues. Figures are fictional and for learning only.</t>
  </si>
  <si>
    <t>ASSIGNMENTS</t>
  </si>
  <si>
    <t>Revenue by sales person</t>
  </si>
  <si>
    <t>Mathemativs function</t>
  </si>
  <si>
    <t>Average Revenue</t>
  </si>
  <si>
    <t>Higest revenue</t>
  </si>
  <si>
    <t>Lowest Revenue</t>
  </si>
  <si>
    <t xml:space="preserve">PART B </t>
  </si>
  <si>
    <t>Total revenue generated in onitsha</t>
  </si>
  <si>
    <t>Total revenue generated in Akwa</t>
  </si>
  <si>
    <t>Total Revenue Generated from laptop</t>
  </si>
  <si>
    <t>Total profit from phone sales</t>
  </si>
  <si>
    <t>PART C</t>
  </si>
  <si>
    <t>Total Revenue from laptop sales in onitsa</t>
  </si>
  <si>
    <t>Keyboard sales in Awka</t>
  </si>
  <si>
    <t>Office sales in onitsha</t>
  </si>
  <si>
    <t>PART  D</t>
  </si>
  <si>
    <t>highest revenue prd is monitor with a totra revenue of 500000</t>
  </si>
  <si>
    <t>city with highest revenue  ABUJA</t>
  </si>
  <si>
    <t>Revenue is the total money generated from all sales while profits is the money left after deducting expenses</t>
  </si>
  <si>
    <t xml:space="preserve">It is important for  a business to track its expences for them to able to know if they are making profit or not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</si>
</sst>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&quot;₦&quot;#,##0"/>
    <numFmt numFmtId="16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color rgb="FF17365D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/>
    <xf numFmtId="0" fontId="4" fillId="0" borderId="0" xfId="0" applyFont="1"/>
    <xf numFmtId="168" fontId="4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topLeftCell="G1" workbookViewId="0">
      <pane ySplit="1" topLeftCell="A2" activePane="bottomLeft" state="frozen"/>
      <selection pane="bottomLeft" activeCell="Q3" sqref="Q3"/>
    </sheetView>
  </sheetViews>
  <sheetFormatPr defaultRowHeight="15" x14ac:dyDescent="0.25"/>
  <cols>
    <col min="1" max="2" width="12" customWidth="1"/>
    <col min="3" max="3" width="13" customWidth="1"/>
    <col min="4" max="4" width="15" customWidth="1"/>
    <col min="5" max="5" width="12" customWidth="1"/>
    <col min="6" max="6" width="16" customWidth="1"/>
    <col min="7" max="7" width="13" customWidth="1"/>
    <col min="8" max="8" width="13.28515625" bestFit="1" customWidth="1"/>
    <col min="9" max="9" width="16" customWidth="1"/>
    <col min="10" max="11" width="15" customWidth="1"/>
    <col min="12" max="12" width="16" customWidth="1"/>
    <col min="13" max="13" width="13" customWidth="1"/>
    <col min="14" max="14" width="14" customWidth="1"/>
    <col min="15" max="15" width="20.7109375" bestFit="1" customWidth="1"/>
    <col min="16" max="16" width="22.7109375" bestFit="1" customWidth="1"/>
    <col min="17" max="17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181</v>
      </c>
      <c r="Q1" s="1" t="s">
        <v>183</v>
      </c>
    </row>
    <row r="2" spans="1:17" x14ac:dyDescent="0.25">
      <c r="A2" t="s">
        <v>14</v>
      </c>
      <c r="B2" s="2">
        <v>46281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s="3">
        <v>9500</v>
      </c>
      <c r="J2" s="4">
        <v>0.05</v>
      </c>
      <c r="K2" t="s">
        <v>20</v>
      </c>
      <c r="L2" t="s">
        <v>21</v>
      </c>
      <c r="M2" t="s">
        <v>22</v>
      </c>
      <c r="N2" t="s">
        <v>23</v>
      </c>
      <c r="P2">
        <f>I2*H2</f>
        <v>9500</v>
      </c>
      <c r="Q2" t="s">
        <v>183</v>
      </c>
    </row>
    <row r="3" spans="1:17" x14ac:dyDescent="0.25">
      <c r="A3" t="s">
        <v>24</v>
      </c>
      <c r="B3" s="2">
        <v>46271</v>
      </c>
      <c r="C3" t="s">
        <v>25</v>
      </c>
      <c r="D3" t="s">
        <v>16</v>
      </c>
      <c r="E3" t="s">
        <v>26</v>
      </c>
      <c r="F3" t="s">
        <v>27</v>
      </c>
      <c r="G3" t="s">
        <v>19</v>
      </c>
      <c r="H3">
        <v>1</v>
      </c>
      <c r="I3" s="3">
        <v>14500</v>
      </c>
      <c r="J3" s="4">
        <v>0</v>
      </c>
      <c r="K3" t="s">
        <v>20</v>
      </c>
      <c r="L3" t="s">
        <v>21</v>
      </c>
      <c r="M3" t="s">
        <v>22</v>
      </c>
      <c r="N3" t="s">
        <v>23</v>
      </c>
      <c r="P3" s="8">
        <f t="shared" ref="P3:P61" si="0">I3*H3</f>
        <v>14500</v>
      </c>
      <c r="Q3" s="12">
        <f>AVERAGE(P2:P61)</f>
        <v>86458.333333333328</v>
      </c>
    </row>
    <row r="4" spans="1:17" x14ac:dyDescent="0.25">
      <c r="A4" t="s">
        <v>28</v>
      </c>
      <c r="B4" s="2">
        <v>46280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5</v>
      </c>
      <c r="I4" s="3">
        <v>85000</v>
      </c>
      <c r="J4" s="4">
        <v>0.1</v>
      </c>
      <c r="K4" t="s">
        <v>34</v>
      </c>
      <c r="L4" t="s">
        <v>35</v>
      </c>
      <c r="M4" t="s">
        <v>36</v>
      </c>
      <c r="N4" t="s">
        <v>37</v>
      </c>
      <c r="P4" s="8">
        <f t="shared" si="0"/>
        <v>425000</v>
      </c>
      <c r="Q4" t="s">
        <v>184</v>
      </c>
    </row>
    <row r="5" spans="1:17" x14ac:dyDescent="0.25">
      <c r="A5" t="s">
        <v>38</v>
      </c>
      <c r="B5" s="2">
        <v>46279</v>
      </c>
      <c r="C5" t="s">
        <v>15</v>
      </c>
      <c r="D5" t="s">
        <v>39</v>
      </c>
      <c r="E5" t="s">
        <v>40</v>
      </c>
      <c r="F5" t="s">
        <v>41</v>
      </c>
      <c r="G5" t="s">
        <v>42</v>
      </c>
      <c r="H5">
        <v>3</v>
      </c>
      <c r="I5" s="3">
        <v>4500</v>
      </c>
      <c r="J5" s="4">
        <v>0</v>
      </c>
      <c r="K5" t="s">
        <v>43</v>
      </c>
      <c r="L5" t="s">
        <v>44</v>
      </c>
      <c r="M5" t="s">
        <v>45</v>
      </c>
      <c r="N5" t="s">
        <v>37</v>
      </c>
      <c r="P5" s="8">
        <f t="shared" si="0"/>
        <v>13500</v>
      </c>
      <c r="Q5">
        <f>MAX(P2:P61)</f>
        <v>500000</v>
      </c>
    </row>
    <row r="6" spans="1:17" x14ac:dyDescent="0.25">
      <c r="A6" t="s">
        <v>46</v>
      </c>
      <c r="B6" s="2">
        <v>46282</v>
      </c>
      <c r="C6" t="s">
        <v>47</v>
      </c>
      <c r="D6" t="s">
        <v>39</v>
      </c>
      <c r="E6" t="s">
        <v>40</v>
      </c>
      <c r="F6" t="s">
        <v>41</v>
      </c>
      <c r="G6" t="s">
        <v>42</v>
      </c>
      <c r="H6">
        <v>3</v>
      </c>
      <c r="I6" s="3">
        <v>4500</v>
      </c>
      <c r="J6" s="4">
        <v>0.15</v>
      </c>
      <c r="K6" t="s">
        <v>48</v>
      </c>
      <c r="L6" t="s">
        <v>21</v>
      </c>
      <c r="M6" t="s">
        <v>36</v>
      </c>
      <c r="N6" t="s">
        <v>23</v>
      </c>
      <c r="P6" s="8">
        <f t="shared" si="0"/>
        <v>13500</v>
      </c>
      <c r="Q6" t="s">
        <v>185</v>
      </c>
    </row>
    <row r="7" spans="1:17" x14ac:dyDescent="0.25">
      <c r="A7" t="s">
        <v>49</v>
      </c>
      <c r="B7" s="2">
        <v>46306</v>
      </c>
      <c r="C7" t="s">
        <v>50</v>
      </c>
      <c r="D7" t="s">
        <v>51</v>
      </c>
      <c r="E7" t="s">
        <v>17</v>
      </c>
      <c r="F7" t="s">
        <v>18</v>
      </c>
      <c r="G7" t="s">
        <v>19</v>
      </c>
      <c r="H7">
        <v>5</v>
      </c>
      <c r="I7" s="3">
        <v>9500</v>
      </c>
      <c r="J7" s="4">
        <v>0.05</v>
      </c>
      <c r="K7" t="s">
        <v>43</v>
      </c>
      <c r="L7" t="s">
        <v>21</v>
      </c>
      <c r="M7" t="s">
        <v>52</v>
      </c>
      <c r="N7" t="s">
        <v>37</v>
      </c>
      <c r="P7" s="8">
        <f t="shared" si="0"/>
        <v>47500</v>
      </c>
      <c r="Q7">
        <f>MIN(P2:P61)</f>
        <v>0</v>
      </c>
    </row>
    <row r="8" spans="1:17" x14ac:dyDescent="0.25">
      <c r="A8" t="s">
        <v>53</v>
      </c>
      <c r="B8" s="2">
        <v>46272</v>
      </c>
      <c r="C8" t="s">
        <v>47</v>
      </c>
      <c r="D8" t="s">
        <v>30</v>
      </c>
      <c r="E8" t="s">
        <v>54</v>
      </c>
      <c r="F8" t="s">
        <v>55</v>
      </c>
      <c r="G8" t="s">
        <v>33</v>
      </c>
      <c r="H8">
        <v>1</v>
      </c>
      <c r="I8" s="3">
        <v>16000</v>
      </c>
      <c r="J8" s="4">
        <v>0</v>
      </c>
      <c r="K8" t="s">
        <v>43</v>
      </c>
      <c r="L8" t="s">
        <v>35</v>
      </c>
      <c r="M8" t="s">
        <v>56</v>
      </c>
      <c r="N8" t="s">
        <v>37</v>
      </c>
      <c r="P8" s="8">
        <f t="shared" si="0"/>
        <v>16000</v>
      </c>
    </row>
    <row r="9" spans="1:17" x14ac:dyDescent="0.25">
      <c r="A9" t="s">
        <v>57</v>
      </c>
      <c r="B9" s="2">
        <v>46270</v>
      </c>
      <c r="C9" t="s">
        <v>58</v>
      </c>
      <c r="D9" t="s">
        <v>59</v>
      </c>
      <c r="E9" t="s">
        <v>40</v>
      </c>
      <c r="F9" t="s">
        <v>41</v>
      </c>
      <c r="G9" t="s">
        <v>42</v>
      </c>
      <c r="H9">
        <v>2</v>
      </c>
      <c r="I9" s="3">
        <v>4500</v>
      </c>
      <c r="J9" s="4">
        <v>0.05</v>
      </c>
      <c r="K9" t="s">
        <v>20</v>
      </c>
      <c r="L9" t="s">
        <v>35</v>
      </c>
      <c r="M9" t="s">
        <v>36</v>
      </c>
      <c r="N9" t="s">
        <v>37</v>
      </c>
      <c r="O9" t="s">
        <v>180</v>
      </c>
      <c r="P9" s="8">
        <f t="shared" si="0"/>
        <v>9000</v>
      </c>
    </row>
    <row r="10" spans="1:17" x14ac:dyDescent="0.25">
      <c r="A10" t="s">
        <v>60</v>
      </c>
      <c r="B10" s="2">
        <v>46280</v>
      </c>
      <c r="C10" t="s">
        <v>61</v>
      </c>
      <c r="D10" t="s">
        <v>62</v>
      </c>
      <c r="E10" t="s">
        <v>26</v>
      </c>
      <c r="F10" t="s">
        <v>27</v>
      </c>
      <c r="G10" t="s">
        <v>19</v>
      </c>
      <c r="H10">
        <v>3</v>
      </c>
      <c r="I10" s="3">
        <v>14500</v>
      </c>
      <c r="J10" s="4">
        <v>0.15</v>
      </c>
      <c r="K10" t="s">
        <v>43</v>
      </c>
      <c r="L10" t="s">
        <v>21</v>
      </c>
      <c r="M10" t="s">
        <v>56</v>
      </c>
      <c r="N10" t="s">
        <v>37</v>
      </c>
      <c r="O10" t="s">
        <v>182</v>
      </c>
      <c r="P10" s="8">
        <f t="shared" si="0"/>
        <v>43500</v>
      </c>
    </row>
    <row r="11" spans="1:17" x14ac:dyDescent="0.25">
      <c r="A11" t="s">
        <v>63</v>
      </c>
      <c r="B11" s="2">
        <v>46279</v>
      </c>
      <c r="C11" t="s">
        <v>64</v>
      </c>
      <c r="D11" t="s">
        <v>51</v>
      </c>
      <c r="E11" t="s">
        <v>26</v>
      </c>
      <c r="F11" t="s">
        <v>27</v>
      </c>
      <c r="G11" t="s">
        <v>19</v>
      </c>
      <c r="H11">
        <v>3</v>
      </c>
      <c r="I11" s="3">
        <v>14500</v>
      </c>
      <c r="J11" s="4">
        <v>0</v>
      </c>
      <c r="K11" t="s">
        <v>43</v>
      </c>
      <c r="L11" t="s">
        <v>44</v>
      </c>
      <c r="M11" t="s">
        <v>36</v>
      </c>
      <c r="N11" t="s">
        <v>65</v>
      </c>
      <c r="P11" s="8">
        <f t="shared" si="0"/>
        <v>43500</v>
      </c>
    </row>
    <row r="12" spans="1:17" x14ac:dyDescent="0.25">
      <c r="A12" t="s">
        <v>66</v>
      </c>
      <c r="B12" s="2">
        <v>46281</v>
      </c>
      <c r="C12" t="s">
        <v>58</v>
      </c>
      <c r="D12" t="s">
        <v>62</v>
      </c>
      <c r="E12" t="s">
        <v>67</v>
      </c>
      <c r="F12" t="s">
        <v>68</v>
      </c>
      <c r="G12" t="s">
        <v>19</v>
      </c>
      <c r="H12">
        <v>3</v>
      </c>
      <c r="I12" s="3">
        <v>22000</v>
      </c>
      <c r="J12" s="4">
        <v>0</v>
      </c>
      <c r="K12" t="s">
        <v>34</v>
      </c>
      <c r="L12" t="s">
        <v>44</v>
      </c>
      <c r="M12" t="s">
        <v>22</v>
      </c>
      <c r="N12" t="s">
        <v>37</v>
      </c>
      <c r="P12" s="8">
        <f t="shared" si="0"/>
        <v>66000</v>
      </c>
    </row>
    <row r="13" spans="1:17" x14ac:dyDescent="0.25">
      <c r="A13" t="s">
        <v>69</v>
      </c>
      <c r="B13" s="2">
        <v>46274</v>
      </c>
      <c r="C13" t="s">
        <v>70</v>
      </c>
      <c r="D13" t="s">
        <v>51</v>
      </c>
      <c r="E13" t="s">
        <v>26</v>
      </c>
      <c r="F13" t="s">
        <v>27</v>
      </c>
      <c r="G13" t="s">
        <v>19</v>
      </c>
      <c r="H13">
        <v>3</v>
      </c>
      <c r="I13" s="3">
        <v>14500</v>
      </c>
      <c r="J13" s="4">
        <v>0</v>
      </c>
      <c r="K13" t="s">
        <v>71</v>
      </c>
      <c r="L13" t="s">
        <v>21</v>
      </c>
      <c r="M13" t="s">
        <v>52</v>
      </c>
      <c r="N13" t="s">
        <v>37</v>
      </c>
      <c r="P13" s="8">
        <f t="shared" si="0"/>
        <v>43500</v>
      </c>
    </row>
    <row r="14" spans="1:17" x14ac:dyDescent="0.25">
      <c r="A14" t="s">
        <v>72</v>
      </c>
      <c r="B14" s="2">
        <v>46270</v>
      </c>
      <c r="C14" t="s">
        <v>47</v>
      </c>
      <c r="D14" t="s">
        <v>30</v>
      </c>
      <c r="E14" t="s">
        <v>67</v>
      </c>
      <c r="F14" t="s">
        <v>68</v>
      </c>
      <c r="G14" t="s">
        <v>19</v>
      </c>
      <c r="H14">
        <v>4</v>
      </c>
      <c r="I14" s="3">
        <v>22000</v>
      </c>
      <c r="J14" s="4">
        <v>0.15</v>
      </c>
      <c r="K14" t="s">
        <v>71</v>
      </c>
      <c r="L14" t="s">
        <v>73</v>
      </c>
      <c r="M14" t="s">
        <v>22</v>
      </c>
      <c r="N14" t="s">
        <v>23</v>
      </c>
      <c r="P14" s="8">
        <f t="shared" si="0"/>
        <v>88000</v>
      </c>
    </row>
    <row r="15" spans="1:17" x14ac:dyDescent="0.25">
      <c r="A15" t="s">
        <v>74</v>
      </c>
      <c r="B15" s="2">
        <v>46283</v>
      </c>
      <c r="C15" t="s">
        <v>75</v>
      </c>
      <c r="D15" t="s">
        <v>39</v>
      </c>
      <c r="E15" t="s">
        <v>76</v>
      </c>
      <c r="F15" t="s">
        <v>77</v>
      </c>
      <c r="G15" t="s">
        <v>19</v>
      </c>
      <c r="H15">
        <v>1</v>
      </c>
      <c r="I15" s="3">
        <v>18000</v>
      </c>
      <c r="J15" s="4">
        <v>0.15</v>
      </c>
      <c r="K15" t="s">
        <v>43</v>
      </c>
      <c r="L15" t="s">
        <v>44</v>
      </c>
      <c r="M15" t="s">
        <v>52</v>
      </c>
      <c r="N15" t="s">
        <v>37</v>
      </c>
      <c r="P15" s="8">
        <f t="shared" si="0"/>
        <v>18000</v>
      </c>
    </row>
    <row r="16" spans="1:17" x14ac:dyDescent="0.25">
      <c r="A16" t="s">
        <v>78</v>
      </c>
      <c r="B16" s="2">
        <v>46298</v>
      </c>
      <c r="C16" t="s">
        <v>25</v>
      </c>
      <c r="D16" t="s">
        <v>39</v>
      </c>
      <c r="E16" t="s">
        <v>79</v>
      </c>
      <c r="F16" t="s">
        <v>80</v>
      </c>
      <c r="G16" t="s">
        <v>81</v>
      </c>
      <c r="H16">
        <v>1</v>
      </c>
      <c r="I16" s="3">
        <v>125000</v>
      </c>
      <c r="J16" s="4">
        <v>0.05</v>
      </c>
      <c r="K16" t="s">
        <v>20</v>
      </c>
      <c r="L16" t="s">
        <v>73</v>
      </c>
      <c r="M16" t="s">
        <v>22</v>
      </c>
      <c r="N16" t="s">
        <v>37</v>
      </c>
      <c r="P16" s="8">
        <f t="shared" si="0"/>
        <v>125000</v>
      </c>
    </row>
    <row r="17" spans="1:16" x14ac:dyDescent="0.25">
      <c r="A17" t="s">
        <v>82</v>
      </c>
      <c r="B17" s="2">
        <v>46276</v>
      </c>
      <c r="C17" t="s">
        <v>83</v>
      </c>
      <c r="D17" t="s">
        <v>51</v>
      </c>
      <c r="E17" t="s">
        <v>31</v>
      </c>
      <c r="F17" t="s">
        <v>32</v>
      </c>
      <c r="G17" t="s">
        <v>33</v>
      </c>
      <c r="H17">
        <v>2</v>
      </c>
      <c r="I17" s="3">
        <v>85000</v>
      </c>
      <c r="J17" s="4">
        <v>0.05</v>
      </c>
      <c r="K17" t="s">
        <v>34</v>
      </c>
      <c r="L17" t="s">
        <v>73</v>
      </c>
      <c r="M17" t="s">
        <v>36</v>
      </c>
      <c r="N17" t="s">
        <v>23</v>
      </c>
      <c r="P17" s="8">
        <f t="shared" si="0"/>
        <v>170000</v>
      </c>
    </row>
    <row r="18" spans="1:16" x14ac:dyDescent="0.25">
      <c r="A18" t="s">
        <v>84</v>
      </c>
      <c r="B18" s="2">
        <v>46285</v>
      </c>
      <c r="C18" t="s">
        <v>85</v>
      </c>
      <c r="D18" t="s">
        <v>16</v>
      </c>
      <c r="E18" t="s">
        <v>76</v>
      </c>
      <c r="F18" t="s">
        <v>77</v>
      </c>
      <c r="G18" t="s">
        <v>19</v>
      </c>
      <c r="H18">
        <v>1</v>
      </c>
      <c r="I18" s="3">
        <v>18000</v>
      </c>
      <c r="J18" s="4">
        <v>0.05</v>
      </c>
      <c r="K18" t="s">
        <v>86</v>
      </c>
      <c r="L18" t="s">
        <v>21</v>
      </c>
      <c r="M18" t="s">
        <v>45</v>
      </c>
      <c r="N18" t="s">
        <v>23</v>
      </c>
      <c r="P18" s="8">
        <f t="shared" si="0"/>
        <v>18000</v>
      </c>
    </row>
    <row r="19" spans="1:16" x14ac:dyDescent="0.25">
      <c r="A19" t="s">
        <v>87</v>
      </c>
      <c r="B19" s="2">
        <v>46274</v>
      </c>
      <c r="C19" t="s">
        <v>88</v>
      </c>
      <c r="D19" t="s">
        <v>16</v>
      </c>
      <c r="E19" t="s">
        <v>79</v>
      </c>
      <c r="F19" t="s">
        <v>80</v>
      </c>
      <c r="G19" t="s">
        <v>81</v>
      </c>
      <c r="H19">
        <v>1</v>
      </c>
      <c r="I19" s="3">
        <v>125000</v>
      </c>
      <c r="J19" s="4">
        <v>0.15</v>
      </c>
      <c r="K19" t="s">
        <v>71</v>
      </c>
      <c r="L19" t="s">
        <v>44</v>
      </c>
      <c r="M19" t="s">
        <v>52</v>
      </c>
      <c r="N19" t="s">
        <v>37</v>
      </c>
      <c r="P19" s="8">
        <f t="shared" si="0"/>
        <v>125000</v>
      </c>
    </row>
    <row r="20" spans="1:16" x14ac:dyDescent="0.25">
      <c r="A20" t="s">
        <v>89</v>
      </c>
      <c r="B20" s="2">
        <v>46289</v>
      </c>
      <c r="C20" t="s">
        <v>90</v>
      </c>
      <c r="D20" t="s">
        <v>30</v>
      </c>
      <c r="E20" t="s">
        <v>31</v>
      </c>
      <c r="F20" t="s">
        <v>32</v>
      </c>
      <c r="G20" t="s">
        <v>33</v>
      </c>
      <c r="H20">
        <v>3</v>
      </c>
      <c r="I20" s="3">
        <v>85000</v>
      </c>
      <c r="J20" s="4">
        <v>0.1</v>
      </c>
      <c r="K20" t="s">
        <v>34</v>
      </c>
      <c r="L20" t="s">
        <v>35</v>
      </c>
      <c r="M20" t="s">
        <v>52</v>
      </c>
      <c r="N20" t="s">
        <v>37</v>
      </c>
      <c r="P20" s="8">
        <f t="shared" si="0"/>
        <v>255000</v>
      </c>
    </row>
    <row r="21" spans="1:16" x14ac:dyDescent="0.25">
      <c r="A21" t="s">
        <v>91</v>
      </c>
      <c r="B21" s="2">
        <v>46303</v>
      </c>
      <c r="C21" t="s">
        <v>92</v>
      </c>
      <c r="D21" t="s">
        <v>51</v>
      </c>
      <c r="E21" t="s">
        <v>17</v>
      </c>
      <c r="F21" t="s">
        <v>18</v>
      </c>
      <c r="G21" t="s">
        <v>19</v>
      </c>
      <c r="H21">
        <v>3</v>
      </c>
      <c r="I21" s="3">
        <v>9500</v>
      </c>
      <c r="J21" s="4">
        <v>0</v>
      </c>
      <c r="K21" t="s">
        <v>20</v>
      </c>
      <c r="L21" t="s">
        <v>21</v>
      </c>
      <c r="M21" t="s">
        <v>45</v>
      </c>
      <c r="N21" t="s">
        <v>37</v>
      </c>
      <c r="P21" s="8">
        <f t="shared" si="0"/>
        <v>28500</v>
      </c>
    </row>
    <row r="22" spans="1:16" x14ac:dyDescent="0.25">
      <c r="A22" t="s">
        <v>93</v>
      </c>
      <c r="B22" s="2">
        <v>46287</v>
      </c>
      <c r="C22" t="s">
        <v>85</v>
      </c>
      <c r="D22" t="s">
        <v>94</v>
      </c>
      <c r="E22" t="s">
        <v>31</v>
      </c>
      <c r="F22" t="s">
        <v>32</v>
      </c>
      <c r="G22" t="s">
        <v>33</v>
      </c>
      <c r="H22">
        <v>1</v>
      </c>
      <c r="I22" s="3">
        <v>85000</v>
      </c>
      <c r="J22" s="4">
        <v>0</v>
      </c>
      <c r="K22" t="s">
        <v>34</v>
      </c>
      <c r="L22" t="s">
        <v>44</v>
      </c>
      <c r="M22" t="s">
        <v>52</v>
      </c>
      <c r="N22" t="s">
        <v>37</v>
      </c>
      <c r="P22" s="8">
        <f t="shared" si="0"/>
        <v>85000</v>
      </c>
    </row>
    <row r="23" spans="1:16" x14ac:dyDescent="0.25">
      <c r="A23" t="s">
        <v>95</v>
      </c>
      <c r="B23" s="2">
        <v>46296</v>
      </c>
      <c r="C23" t="s">
        <v>96</v>
      </c>
      <c r="D23" t="s">
        <v>16</v>
      </c>
      <c r="E23" t="s">
        <v>67</v>
      </c>
      <c r="F23" t="s">
        <v>68</v>
      </c>
      <c r="G23" t="s">
        <v>19</v>
      </c>
      <c r="H23">
        <v>5</v>
      </c>
      <c r="I23" s="3">
        <v>22000</v>
      </c>
      <c r="J23" s="4">
        <v>0.15</v>
      </c>
      <c r="K23" t="s">
        <v>71</v>
      </c>
      <c r="L23" t="s">
        <v>21</v>
      </c>
      <c r="M23" t="s">
        <v>45</v>
      </c>
      <c r="N23" t="s">
        <v>37</v>
      </c>
      <c r="P23" s="8">
        <f t="shared" si="0"/>
        <v>110000</v>
      </c>
    </row>
    <row r="24" spans="1:16" x14ac:dyDescent="0.25">
      <c r="A24" t="s">
        <v>97</v>
      </c>
      <c r="B24" s="2">
        <v>46292</v>
      </c>
      <c r="C24" t="s">
        <v>15</v>
      </c>
      <c r="D24" t="s">
        <v>30</v>
      </c>
      <c r="E24" t="s">
        <v>26</v>
      </c>
      <c r="F24" t="s">
        <v>27</v>
      </c>
      <c r="G24" t="s">
        <v>19</v>
      </c>
      <c r="H24">
        <v>3</v>
      </c>
      <c r="I24" s="3">
        <v>14500</v>
      </c>
      <c r="J24" s="4">
        <v>0.1</v>
      </c>
      <c r="K24" t="s">
        <v>48</v>
      </c>
      <c r="L24" t="s">
        <v>44</v>
      </c>
      <c r="M24" t="s">
        <v>56</v>
      </c>
      <c r="N24" t="s">
        <v>37</v>
      </c>
      <c r="P24" s="8">
        <f t="shared" si="0"/>
        <v>43500</v>
      </c>
    </row>
    <row r="25" spans="1:16" x14ac:dyDescent="0.25">
      <c r="A25" t="s">
        <v>98</v>
      </c>
      <c r="B25" s="2">
        <v>46278</v>
      </c>
      <c r="C25" t="s">
        <v>99</v>
      </c>
      <c r="D25" t="s">
        <v>51</v>
      </c>
      <c r="E25" t="s">
        <v>17</v>
      </c>
      <c r="F25" t="s">
        <v>18</v>
      </c>
      <c r="G25" t="s">
        <v>19</v>
      </c>
      <c r="H25">
        <v>2</v>
      </c>
      <c r="I25" s="3">
        <v>9500</v>
      </c>
      <c r="J25" s="4">
        <v>0</v>
      </c>
      <c r="K25" t="s">
        <v>71</v>
      </c>
      <c r="L25" t="s">
        <v>35</v>
      </c>
      <c r="M25" t="s">
        <v>56</v>
      </c>
      <c r="N25" t="s">
        <v>65</v>
      </c>
      <c r="P25" s="8">
        <f t="shared" si="0"/>
        <v>19000</v>
      </c>
    </row>
    <row r="26" spans="1:16" x14ac:dyDescent="0.25">
      <c r="A26" t="s">
        <v>100</v>
      </c>
      <c r="B26" s="2">
        <v>46294</v>
      </c>
      <c r="C26" t="s">
        <v>15</v>
      </c>
      <c r="D26" t="s">
        <v>39</v>
      </c>
      <c r="E26" t="s">
        <v>79</v>
      </c>
      <c r="F26" t="s">
        <v>80</v>
      </c>
      <c r="G26" t="s">
        <v>81</v>
      </c>
      <c r="H26">
        <v>2</v>
      </c>
      <c r="I26" s="3">
        <v>125000</v>
      </c>
      <c r="J26" s="4">
        <v>0</v>
      </c>
      <c r="K26" t="s">
        <v>34</v>
      </c>
      <c r="L26" t="s">
        <v>21</v>
      </c>
      <c r="M26" t="s">
        <v>45</v>
      </c>
      <c r="N26" t="s">
        <v>37</v>
      </c>
      <c r="P26" s="8">
        <f t="shared" si="0"/>
        <v>250000</v>
      </c>
    </row>
    <row r="27" spans="1:16" x14ac:dyDescent="0.25">
      <c r="A27" t="s">
        <v>101</v>
      </c>
      <c r="B27" s="2">
        <v>46297</v>
      </c>
      <c r="C27" t="s">
        <v>102</v>
      </c>
      <c r="D27" t="s">
        <v>30</v>
      </c>
      <c r="E27" t="s">
        <v>31</v>
      </c>
      <c r="F27" t="s">
        <v>32</v>
      </c>
      <c r="G27" t="s">
        <v>33</v>
      </c>
      <c r="H27">
        <v>2</v>
      </c>
      <c r="I27" s="3">
        <v>85000</v>
      </c>
      <c r="J27" s="4">
        <v>0.1</v>
      </c>
      <c r="K27" t="s">
        <v>20</v>
      </c>
      <c r="L27" t="s">
        <v>35</v>
      </c>
      <c r="M27" t="s">
        <v>36</v>
      </c>
      <c r="N27" t="s">
        <v>37</v>
      </c>
      <c r="P27" s="8">
        <f t="shared" si="0"/>
        <v>170000</v>
      </c>
    </row>
    <row r="28" spans="1:16" x14ac:dyDescent="0.25">
      <c r="A28" t="s">
        <v>103</v>
      </c>
      <c r="B28" s="2">
        <v>46295</v>
      </c>
      <c r="C28" t="s">
        <v>104</v>
      </c>
      <c r="D28" t="s">
        <v>105</v>
      </c>
      <c r="E28" t="s">
        <v>76</v>
      </c>
      <c r="F28" t="s">
        <v>77</v>
      </c>
      <c r="G28" t="s">
        <v>19</v>
      </c>
      <c r="H28">
        <v>4</v>
      </c>
      <c r="I28" s="3">
        <v>18000</v>
      </c>
      <c r="J28" s="4">
        <v>0.05</v>
      </c>
      <c r="K28" t="s">
        <v>71</v>
      </c>
      <c r="L28" t="s">
        <v>35</v>
      </c>
      <c r="M28" t="s">
        <v>56</v>
      </c>
      <c r="N28" t="s">
        <v>37</v>
      </c>
      <c r="P28" s="8">
        <f t="shared" si="0"/>
        <v>72000</v>
      </c>
    </row>
    <row r="29" spans="1:16" x14ac:dyDescent="0.25">
      <c r="A29" t="s">
        <v>106</v>
      </c>
      <c r="B29" s="2">
        <v>46300</v>
      </c>
      <c r="C29" t="s">
        <v>61</v>
      </c>
      <c r="D29" t="s">
        <v>94</v>
      </c>
      <c r="E29" t="s">
        <v>31</v>
      </c>
      <c r="F29" t="s">
        <v>32</v>
      </c>
      <c r="G29" t="s">
        <v>33</v>
      </c>
      <c r="H29">
        <v>1</v>
      </c>
      <c r="I29" s="3">
        <v>85000</v>
      </c>
      <c r="J29" s="4">
        <v>0.15</v>
      </c>
      <c r="K29" t="s">
        <v>43</v>
      </c>
      <c r="L29" t="s">
        <v>44</v>
      </c>
      <c r="M29" t="s">
        <v>22</v>
      </c>
      <c r="N29" t="s">
        <v>37</v>
      </c>
      <c r="P29" s="8">
        <f t="shared" si="0"/>
        <v>85000</v>
      </c>
    </row>
    <row r="30" spans="1:16" x14ac:dyDescent="0.25">
      <c r="A30" t="s">
        <v>107</v>
      </c>
      <c r="B30" s="2">
        <v>46271</v>
      </c>
      <c r="C30" t="s">
        <v>108</v>
      </c>
      <c r="D30" t="s">
        <v>39</v>
      </c>
      <c r="E30" t="s">
        <v>67</v>
      </c>
      <c r="F30" t="s">
        <v>68</v>
      </c>
      <c r="G30" t="s">
        <v>19</v>
      </c>
      <c r="H30">
        <v>1</v>
      </c>
      <c r="I30" s="3">
        <v>22000</v>
      </c>
      <c r="J30" s="4">
        <v>0.15</v>
      </c>
      <c r="K30" t="s">
        <v>20</v>
      </c>
      <c r="L30" t="s">
        <v>21</v>
      </c>
      <c r="M30" t="s">
        <v>52</v>
      </c>
      <c r="N30" t="s">
        <v>23</v>
      </c>
      <c r="P30" s="8">
        <f t="shared" si="0"/>
        <v>22000</v>
      </c>
    </row>
    <row r="31" spans="1:16" x14ac:dyDescent="0.25">
      <c r="A31" t="s">
        <v>109</v>
      </c>
      <c r="B31" s="2">
        <v>46281</v>
      </c>
      <c r="C31" t="s">
        <v>110</v>
      </c>
      <c r="D31" t="s">
        <v>51</v>
      </c>
      <c r="E31" t="s">
        <v>26</v>
      </c>
      <c r="F31" t="s">
        <v>27</v>
      </c>
      <c r="G31" t="s">
        <v>19</v>
      </c>
      <c r="H31">
        <v>1</v>
      </c>
      <c r="I31" s="3">
        <v>14500</v>
      </c>
      <c r="J31" s="4">
        <v>0.15</v>
      </c>
      <c r="K31" t="s">
        <v>34</v>
      </c>
      <c r="L31" t="s">
        <v>21</v>
      </c>
      <c r="M31" t="s">
        <v>36</v>
      </c>
      <c r="N31" t="s">
        <v>23</v>
      </c>
      <c r="P31" s="8">
        <f t="shared" si="0"/>
        <v>14500</v>
      </c>
    </row>
    <row r="32" spans="1:16" x14ac:dyDescent="0.25">
      <c r="A32" t="s">
        <v>111</v>
      </c>
      <c r="B32" s="2">
        <v>46286</v>
      </c>
      <c r="C32" t="s">
        <v>102</v>
      </c>
      <c r="D32" t="s">
        <v>16</v>
      </c>
      <c r="E32" t="s">
        <v>40</v>
      </c>
      <c r="F32" t="s">
        <v>41</v>
      </c>
      <c r="G32" t="s">
        <v>42</v>
      </c>
      <c r="I32" s="3">
        <v>4500</v>
      </c>
      <c r="J32" s="4">
        <v>0</v>
      </c>
      <c r="K32" t="s">
        <v>43</v>
      </c>
      <c r="L32" t="s">
        <v>73</v>
      </c>
      <c r="M32" t="s">
        <v>36</v>
      </c>
      <c r="N32" t="s">
        <v>37</v>
      </c>
      <c r="P32" s="8">
        <f t="shared" si="0"/>
        <v>0</v>
      </c>
    </row>
    <row r="33" spans="1:16" x14ac:dyDescent="0.25">
      <c r="A33" t="s">
        <v>112</v>
      </c>
      <c r="B33" s="2">
        <v>46295</v>
      </c>
      <c r="C33" t="s">
        <v>15</v>
      </c>
      <c r="D33" t="s">
        <v>51</v>
      </c>
      <c r="E33" t="s">
        <v>40</v>
      </c>
      <c r="F33" t="s">
        <v>41</v>
      </c>
      <c r="G33" t="s">
        <v>42</v>
      </c>
      <c r="H33">
        <v>1</v>
      </c>
      <c r="I33" s="3">
        <v>4500</v>
      </c>
      <c r="J33" s="4">
        <v>0</v>
      </c>
      <c r="K33" t="s">
        <v>34</v>
      </c>
      <c r="L33" t="s">
        <v>35</v>
      </c>
      <c r="M33" t="s">
        <v>22</v>
      </c>
      <c r="N33" t="s">
        <v>37</v>
      </c>
      <c r="P33" s="8">
        <f t="shared" si="0"/>
        <v>4500</v>
      </c>
    </row>
    <row r="34" spans="1:16" x14ac:dyDescent="0.25">
      <c r="A34" t="s">
        <v>113</v>
      </c>
      <c r="B34" s="2">
        <v>46270</v>
      </c>
      <c r="C34" t="s">
        <v>114</v>
      </c>
      <c r="D34" t="s">
        <v>16</v>
      </c>
      <c r="E34" t="s">
        <v>54</v>
      </c>
      <c r="F34" t="s">
        <v>55</v>
      </c>
      <c r="G34" t="s">
        <v>33</v>
      </c>
      <c r="H34">
        <v>2</v>
      </c>
      <c r="I34" s="3">
        <v>16000</v>
      </c>
      <c r="J34" s="4">
        <v>0.05</v>
      </c>
      <c r="K34" t="s">
        <v>43</v>
      </c>
      <c r="L34" t="s">
        <v>44</v>
      </c>
      <c r="M34" t="s">
        <v>22</v>
      </c>
      <c r="N34" t="s">
        <v>37</v>
      </c>
      <c r="P34" s="8">
        <f t="shared" si="0"/>
        <v>32000</v>
      </c>
    </row>
    <row r="35" spans="1:16" x14ac:dyDescent="0.25">
      <c r="A35" t="s">
        <v>115</v>
      </c>
      <c r="B35" s="2">
        <v>46266</v>
      </c>
      <c r="C35" t="s">
        <v>116</v>
      </c>
      <c r="D35" t="s">
        <v>62</v>
      </c>
      <c r="E35" t="s">
        <v>54</v>
      </c>
      <c r="F35" t="s">
        <v>55</v>
      </c>
      <c r="G35" t="s">
        <v>33</v>
      </c>
      <c r="H35">
        <v>5</v>
      </c>
      <c r="I35" s="3">
        <v>16000</v>
      </c>
      <c r="J35" s="4">
        <v>0.15</v>
      </c>
      <c r="K35" t="s">
        <v>34</v>
      </c>
      <c r="L35" t="s">
        <v>35</v>
      </c>
      <c r="M35" t="s">
        <v>56</v>
      </c>
      <c r="N35" t="s">
        <v>37</v>
      </c>
      <c r="P35" s="8">
        <f t="shared" si="0"/>
        <v>80000</v>
      </c>
    </row>
    <row r="36" spans="1:16" x14ac:dyDescent="0.25">
      <c r="A36" t="s">
        <v>117</v>
      </c>
      <c r="B36" s="2">
        <v>46275</v>
      </c>
      <c r="C36" t="s">
        <v>64</v>
      </c>
      <c r="D36" t="s">
        <v>105</v>
      </c>
      <c r="E36" t="s">
        <v>17</v>
      </c>
      <c r="F36" t="s">
        <v>18</v>
      </c>
      <c r="G36" t="s">
        <v>19</v>
      </c>
      <c r="H36">
        <v>1</v>
      </c>
      <c r="I36" s="3">
        <v>9500</v>
      </c>
      <c r="J36" s="4">
        <v>0.15</v>
      </c>
      <c r="K36" t="s">
        <v>43</v>
      </c>
      <c r="L36" t="s">
        <v>35</v>
      </c>
      <c r="M36" t="s">
        <v>56</v>
      </c>
      <c r="N36" t="s">
        <v>37</v>
      </c>
      <c r="P36" s="8">
        <f t="shared" si="0"/>
        <v>9500</v>
      </c>
    </row>
    <row r="37" spans="1:16" x14ac:dyDescent="0.25">
      <c r="A37" t="s">
        <v>118</v>
      </c>
      <c r="B37" s="2">
        <v>46271</v>
      </c>
      <c r="C37" t="s">
        <v>29</v>
      </c>
      <c r="D37" t="s">
        <v>62</v>
      </c>
      <c r="E37" t="s">
        <v>79</v>
      </c>
      <c r="F37" t="s">
        <v>80</v>
      </c>
      <c r="G37" t="s">
        <v>81</v>
      </c>
      <c r="H37">
        <v>3</v>
      </c>
      <c r="I37" s="3">
        <v>125000</v>
      </c>
      <c r="J37" s="4">
        <v>0</v>
      </c>
      <c r="K37" t="s">
        <v>71</v>
      </c>
      <c r="L37" t="s">
        <v>21</v>
      </c>
      <c r="M37" t="s">
        <v>56</v>
      </c>
      <c r="N37" t="s">
        <v>37</v>
      </c>
      <c r="P37" s="8">
        <f t="shared" si="0"/>
        <v>375000</v>
      </c>
    </row>
    <row r="38" spans="1:16" x14ac:dyDescent="0.25">
      <c r="A38" t="s">
        <v>119</v>
      </c>
      <c r="B38" s="2">
        <v>46294</v>
      </c>
      <c r="C38" t="s">
        <v>83</v>
      </c>
      <c r="D38" t="s">
        <v>51</v>
      </c>
      <c r="E38" t="s">
        <v>67</v>
      </c>
      <c r="F38" t="s">
        <v>68</v>
      </c>
      <c r="G38" t="s">
        <v>19</v>
      </c>
      <c r="H38">
        <v>3</v>
      </c>
      <c r="I38" s="3">
        <v>22000</v>
      </c>
      <c r="J38" s="4">
        <v>0</v>
      </c>
      <c r="K38" t="s">
        <v>71</v>
      </c>
      <c r="L38" t="s">
        <v>21</v>
      </c>
      <c r="M38" t="s">
        <v>52</v>
      </c>
      <c r="N38" t="s">
        <v>37</v>
      </c>
      <c r="P38" s="8">
        <f t="shared" si="0"/>
        <v>66000</v>
      </c>
    </row>
    <row r="39" spans="1:16" x14ac:dyDescent="0.25">
      <c r="A39" t="s">
        <v>120</v>
      </c>
      <c r="B39" s="2">
        <v>46301</v>
      </c>
      <c r="C39" t="s">
        <v>121</v>
      </c>
      <c r="D39" t="s">
        <v>16</v>
      </c>
      <c r="E39" t="s">
        <v>76</v>
      </c>
      <c r="F39" t="s">
        <v>77</v>
      </c>
      <c r="G39" t="s">
        <v>19</v>
      </c>
      <c r="H39">
        <v>3</v>
      </c>
      <c r="I39" s="3">
        <v>18000</v>
      </c>
      <c r="J39" s="4">
        <v>0.15</v>
      </c>
      <c r="K39" t="s">
        <v>71</v>
      </c>
      <c r="L39" t="s">
        <v>73</v>
      </c>
      <c r="M39" t="s">
        <v>56</v>
      </c>
      <c r="N39" t="s">
        <v>37</v>
      </c>
      <c r="P39" s="8">
        <f t="shared" si="0"/>
        <v>54000</v>
      </c>
    </row>
    <row r="40" spans="1:16" x14ac:dyDescent="0.25">
      <c r="A40" t="s">
        <v>122</v>
      </c>
      <c r="B40" s="2">
        <v>46281</v>
      </c>
      <c r="C40" t="s">
        <v>123</v>
      </c>
      <c r="D40" t="s">
        <v>62</v>
      </c>
      <c r="E40" t="s">
        <v>76</v>
      </c>
      <c r="F40" t="s">
        <v>77</v>
      </c>
      <c r="G40" t="s">
        <v>19</v>
      </c>
      <c r="H40">
        <v>3</v>
      </c>
      <c r="I40" s="3">
        <v>18000</v>
      </c>
      <c r="J40" s="4">
        <v>0</v>
      </c>
      <c r="K40" t="s">
        <v>48</v>
      </c>
      <c r="L40" t="s">
        <v>44</v>
      </c>
      <c r="M40" t="s">
        <v>22</v>
      </c>
      <c r="N40" t="s">
        <v>124</v>
      </c>
      <c r="P40" s="8">
        <f t="shared" si="0"/>
        <v>54000</v>
      </c>
    </row>
    <row r="41" spans="1:16" x14ac:dyDescent="0.25">
      <c r="A41" t="s">
        <v>125</v>
      </c>
      <c r="B41" s="2">
        <v>46277</v>
      </c>
      <c r="C41" t="s">
        <v>126</v>
      </c>
      <c r="D41" t="s">
        <v>30</v>
      </c>
      <c r="E41" t="s">
        <v>67</v>
      </c>
      <c r="F41" t="s">
        <v>68</v>
      </c>
      <c r="G41" t="s">
        <v>19</v>
      </c>
      <c r="H41">
        <v>2</v>
      </c>
      <c r="I41" s="3">
        <v>22000</v>
      </c>
      <c r="J41" s="4">
        <v>0</v>
      </c>
      <c r="K41" t="s">
        <v>48</v>
      </c>
      <c r="L41" t="s">
        <v>44</v>
      </c>
      <c r="M41" t="s">
        <v>52</v>
      </c>
      <c r="N41" t="s">
        <v>37</v>
      </c>
      <c r="P41" s="8">
        <f t="shared" si="0"/>
        <v>44000</v>
      </c>
    </row>
    <row r="42" spans="1:16" x14ac:dyDescent="0.25">
      <c r="A42" t="s">
        <v>127</v>
      </c>
      <c r="B42" s="2">
        <v>46290</v>
      </c>
      <c r="C42" t="s">
        <v>128</v>
      </c>
      <c r="D42" t="s">
        <v>39</v>
      </c>
      <c r="E42" t="s">
        <v>54</v>
      </c>
      <c r="F42" t="s">
        <v>55</v>
      </c>
      <c r="G42" t="s">
        <v>33</v>
      </c>
      <c r="H42">
        <v>2</v>
      </c>
      <c r="I42" s="3">
        <v>16000</v>
      </c>
      <c r="J42" s="4">
        <v>0</v>
      </c>
      <c r="K42" t="s">
        <v>48</v>
      </c>
      <c r="L42" t="s">
        <v>35</v>
      </c>
      <c r="M42" t="s">
        <v>36</v>
      </c>
      <c r="N42" t="s">
        <v>37</v>
      </c>
      <c r="P42" s="8">
        <f t="shared" si="0"/>
        <v>32000</v>
      </c>
    </row>
    <row r="43" spans="1:16" x14ac:dyDescent="0.25">
      <c r="A43" t="s">
        <v>129</v>
      </c>
      <c r="B43" s="2">
        <v>46280</v>
      </c>
      <c r="C43" t="s">
        <v>102</v>
      </c>
      <c r="D43" t="s">
        <v>94</v>
      </c>
      <c r="E43" t="s">
        <v>40</v>
      </c>
      <c r="F43" t="s">
        <v>41</v>
      </c>
      <c r="G43" t="s">
        <v>42</v>
      </c>
      <c r="H43">
        <v>3</v>
      </c>
      <c r="I43" s="3">
        <v>4500</v>
      </c>
      <c r="J43" s="4">
        <v>0</v>
      </c>
      <c r="K43" t="s">
        <v>20</v>
      </c>
      <c r="L43" t="s">
        <v>73</v>
      </c>
      <c r="M43" t="s">
        <v>45</v>
      </c>
      <c r="N43" t="s">
        <v>37</v>
      </c>
      <c r="P43" s="8">
        <f t="shared" si="0"/>
        <v>13500</v>
      </c>
    </row>
    <row r="44" spans="1:16" x14ac:dyDescent="0.25">
      <c r="A44" t="s">
        <v>130</v>
      </c>
      <c r="B44" s="2">
        <v>46291</v>
      </c>
      <c r="C44" t="s">
        <v>131</v>
      </c>
      <c r="D44" t="s">
        <v>62</v>
      </c>
      <c r="E44" t="s">
        <v>54</v>
      </c>
      <c r="F44" t="s">
        <v>55</v>
      </c>
      <c r="G44" t="s">
        <v>33</v>
      </c>
      <c r="H44">
        <v>3</v>
      </c>
      <c r="I44" s="3">
        <v>16000</v>
      </c>
      <c r="J44" s="4">
        <v>0.15</v>
      </c>
      <c r="K44" t="s">
        <v>34</v>
      </c>
      <c r="L44" t="s">
        <v>21</v>
      </c>
      <c r="M44" t="s">
        <v>56</v>
      </c>
      <c r="N44" t="s">
        <v>37</v>
      </c>
      <c r="P44" s="8">
        <f t="shared" si="0"/>
        <v>48000</v>
      </c>
    </row>
    <row r="45" spans="1:16" x14ac:dyDescent="0.25">
      <c r="A45" t="s">
        <v>132</v>
      </c>
      <c r="B45" s="2">
        <v>46268</v>
      </c>
      <c r="C45" t="s">
        <v>133</v>
      </c>
      <c r="D45" t="s">
        <v>94</v>
      </c>
      <c r="E45" t="s">
        <v>67</v>
      </c>
      <c r="F45" t="s">
        <v>68</v>
      </c>
      <c r="G45" t="s">
        <v>19</v>
      </c>
      <c r="H45">
        <v>5</v>
      </c>
      <c r="I45" s="3">
        <v>22000</v>
      </c>
      <c r="J45" s="4">
        <v>0.05</v>
      </c>
      <c r="K45" t="s">
        <v>34</v>
      </c>
      <c r="L45" t="s">
        <v>73</v>
      </c>
      <c r="M45" t="s">
        <v>36</v>
      </c>
      <c r="N45" t="s">
        <v>37</v>
      </c>
      <c r="P45" s="8">
        <f t="shared" si="0"/>
        <v>110000</v>
      </c>
    </row>
    <row r="46" spans="1:16" x14ac:dyDescent="0.25">
      <c r="A46" t="s">
        <v>134</v>
      </c>
      <c r="B46" s="2">
        <v>46278</v>
      </c>
      <c r="C46" t="s">
        <v>133</v>
      </c>
      <c r="D46" t="s">
        <v>105</v>
      </c>
      <c r="E46" t="s">
        <v>17</v>
      </c>
      <c r="F46" t="s">
        <v>18</v>
      </c>
      <c r="G46" t="s">
        <v>19</v>
      </c>
      <c r="H46">
        <v>4</v>
      </c>
      <c r="I46" s="3">
        <v>9500</v>
      </c>
      <c r="J46" s="4">
        <v>0.15</v>
      </c>
      <c r="K46" t="s">
        <v>48</v>
      </c>
      <c r="L46" t="s">
        <v>35</v>
      </c>
      <c r="M46" t="s">
        <v>56</v>
      </c>
      <c r="N46" t="s">
        <v>37</v>
      </c>
      <c r="P46" s="8">
        <f t="shared" si="0"/>
        <v>38000</v>
      </c>
    </row>
    <row r="47" spans="1:16" x14ac:dyDescent="0.25">
      <c r="A47" t="s">
        <v>135</v>
      </c>
      <c r="B47" s="2">
        <v>46305</v>
      </c>
      <c r="C47" t="s">
        <v>116</v>
      </c>
      <c r="D47" t="s">
        <v>105</v>
      </c>
      <c r="E47" t="s">
        <v>26</v>
      </c>
      <c r="F47" t="s">
        <v>27</v>
      </c>
      <c r="G47" t="s">
        <v>19</v>
      </c>
      <c r="H47">
        <v>1</v>
      </c>
      <c r="I47" s="3">
        <v>14500</v>
      </c>
      <c r="J47" s="4">
        <v>0.05</v>
      </c>
      <c r="K47" t="s">
        <v>48</v>
      </c>
      <c r="L47" t="s">
        <v>73</v>
      </c>
      <c r="M47" t="s">
        <v>36</v>
      </c>
      <c r="N47" t="s">
        <v>23</v>
      </c>
      <c r="P47" s="8">
        <f t="shared" si="0"/>
        <v>14500</v>
      </c>
    </row>
    <row r="48" spans="1:16" x14ac:dyDescent="0.25">
      <c r="A48" t="s">
        <v>136</v>
      </c>
      <c r="B48" s="2">
        <v>46301</v>
      </c>
      <c r="C48" t="s">
        <v>96</v>
      </c>
      <c r="D48" t="s">
        <v>16</v>
      </c>
      <c r="E48" t="s">
        <v>40</v>
      </c>
      <c r="F48" t="s">
        <v>41</v>
      </c>
      <c r="G48" t="s">
        <v>42</v>
      </c>
      <c r="H48">
        <v>4</v>
      </c>
      <c r="I48" s="3">
        <v>4500</v>
      </c>
      <c r="J48" s="4">
        <v>0.05</v>
      </c>
      <c r="K48" t="s">
        <v>20</v>
      </c>
      <c r="L48" t="s">
        <v>35</v>
      </c>
      <c r="M48" t="s">
        <v>22</v>
      </c>
      <c r="N48" t="s">
        <v>65</v>
      </c>
      <c r="P48" s="8">
        <f t="shared" si="0"/>
        <v>18000</v>
      </c>
    </row>
    <row r="49" spans="1:16" x14ac:dyDescent="0.25">
      <c r="A49" t="s">
        <v>137</v>
      </c>
      <c r="B49" s="2">
        <v>46266</v>
      </c>
      <c r="C49" t="s">
        <v>64</v>
      </c>
      <c r="D49" t="s">
        <v>105</v>
      </c>
      <c r="E49" t="s">
        <v>54</v>
      </c>
      <c r="F49" t="s">
        <v>55</v>
      </c>
      <c r="G49" t="s">
        <v>33</v>
      </c>
      <c r="H49">
        <v>4</v>
      </c>
      <c r="I49" s="3">
        <v>16000</v>
      </c>
      <c r="J49" s="4">
        <v>0.15</v>
      </c>
      <c r="K49" t="s">
        <v>43</v>
      </c>
      <c r="L49" t="s">
        <v>73</v>
      </c>
      <c r="M49" t="s">
        <v>36</v>
      </c>
      <c r="N49" t="s">
        <v>65</v>
      </c>
      <c r="P49" s="8">
        <f t="shared" si="0"/>
        <v>64000</v>
      </c>
    </row>
    <row r="50" spans="1:16" x14ac:dyDescent="0.25">
      <c r="A50" t="s">
        <v>138</v>
      </c>
      <c r="B50" s="2">
        <v>46298</v>
      </c>
      <c r="C50" t="s">
        <v>70</v>
      </c>
      <c r="D50" t="s">
        <v>30</v>
      </c>
      <c r="E50" t="s">
        <v>79</v>
      </c>
      <c r="F50" t="s">
        <v>80</v>
      </c>
      <c r="G50" t="s">
        <v>81</v>
      </c>
      <c r="H50">
        <v>4</v>
      </c>
      <c r="I50" s="3">
        <v>125000</v>
      </c>
      <c r="J50" s="4">
        <v>0</v>
      </c>
      <c r="K50" t="s">
        <v>20</v>
      </c>
      <c r="L50" t="s">
        <v>73</v>
      </c>
      <c r="M50" t="s">
        <v>45</v>
      </c>
      <c r="N50" t="s">
        <v>37</v>
      </c>
      <c r="P50" s="8">
        <f t="shared" si="0"/>
        <v>500000</v>
      </c>
    </row>
    <row r="51" spans="1:16" x14ac:dyDescent="0.25">
      <c r="A51" t="s">
        <v>139</v>
      </c>
      <c r="B51" s="2">
        <v>46278</v>
      </c>
      <c r="C51" t="s">
        <v>110</v>
      </c>
      <c r="D51" t="s">
        <v>16</v>
      </c>
      <c r="E51" t="s">
        <v>31</v>
      </c>
      <c r="F51" t="s">
        <v>32</v>
      </c>
      <c r="G51" t="s">
        <v>33</v>
      </c>
      <c r="H51">
        <v>3</v>
      </c>
      <c r="I51" s="3">
        <v>85000</v>
      </c>
      <c r="J51" s="4">
        <v>0</v>
      </c>
      <c r="K51" t="s">
        <v>48</v>
      </c>
      <c r="L51" t="s">
        <v>44</v>
      </c>
      <c r="M51" t="s">
        <v>22</v>
      </c>
      <c r="N51" t="s">
        <v>37</v>
      </c>
      <c r="P51" s="8">
        <f t="shared" si="0"/>
        <v>255000</v>
      </c>
    </row>
    <row r="52" spans="1:16" x14ac:dyDescent="0.25">
      <c r="A52" t="s">
        <v>140</v>
      </c>
      <c r="B52" s="2">
        <v>46306</v>
      </c>
      <c r="C52" t="s">
        <v>141</v>
      </c>
      <c r="D52" t="s">
        <v>51</v>
      </c>
      <c r="E52" t="s">
        <v>17</v>
      </c>
      <c r="F52" t="s">
        <v>18</v>
      </c>
      <c r="G52" t="s">
        <v>19</v>
      </c>
      <c r="H52">
        <v>4</v>
      </c>
      <c r="I52" s="3">
        <v>9500</v>
      </c>
      <c r="J52" s="4">
        <v>0.1</v>
      </c>
      <c r="K52" t="s">
        <v>20</v>
      </c>
      <c r="L52" t="s">
        <v>44</v>
      </c>
      <c r="M52" t="s">
        <v>52</v>
      </c>
      <c r="N52" t="s">
        <v>65</v>
      </c>
      <c r="P52" s="8">
        <f t="shared" si="0"/>
        <v>38000</v>
      </c>
    </row>
    <row r="53" spans="1:16" x14ac:dyDescent="0.25">
      <c r="A53" t="s">
        <v>142</v>
      </c>
      <c r="B53" s="2">
        <v>46293</v>
      </c>
      <c r="C53" t="s">
        <v>143</v>
      </c>
      <c r="D53" t="s">
        <v>16</v>
      </c>
      <c r="E53" t="s">
        <v>67</v>
      </c>
      <c r="F53" t="s">
        <v>68</v>
      </c>
      <c r="G53" t="s">
        <v>19</v>
      </c>
      <c r="H53">
        <v>1</v>
      </c>
      <c r="I53" s="3">
        <v>22000</v>
      </c>
      <c r="J53" s="4">
        <v>0</v>
      </c>
      <c r="K53" t="s">
        <v>20</v>
      </c>
      <c r="L53" t="s">
        <v>21</v>
      </c>
      <c r="M53" t="s">
        <v>22</v>
      </c>
      <c r="N53" t="s">
        <v>65</v>
      </c>
      <c r="P53" s="8">
        <f t="shared" si="0"/>
        <v>22000</v>
      </c>
    </row>
    <row r="54" spans="1:16" x14ac:dyDescent="0.25">
      <c r="A54" t="s">
        <v>144</v>
      </c>
      <c r="B54" s="2">
        <v>46274</v>
      </c>
      <c r="C54" t="s">
        <v>143</v>
      </c>
      <c r="D54" t="s">
        <v>39</v>
      </c>
      <c r="E54" t="s">
        <v>31</v>
      </c>
      <c r="F54" t="s">
        <v>32</v>
      </c>
      <c r="G54" t="s">
        <v>33</v>
      </c>
      <c r="H54">
        <v>1</v>
      </c>
      <c r="I54" s="3">
        <v>85000</v>
      </c>
      <c r="J54" s="4">
        <v>0.1</v>
      </c>
      <c r="K54" t="s">
        <v>71</v>
      </c>
      <c r="L54" t="s">
        <v>73</v>
      </c>
      <c r="M54" t="s">
        <v>36</v>
      </c>
      <c r="N54" t="s">
        <v>23</v>
      </c>
      <c r="P54" s="8">
        <f t="shared" si="0"/>
        <v>85000</v>
      </c>
    </row>
    <row r="55" spans="1:16" x14ac:dyDescent="0.25">
      <c r="A55" t="s">
        <v>145</v>
      </c>
      <c r="B55" s="2">
        <v>46276</v>
      </c>
      <c r="C55" t="s">
        <v>90</v>
      </c>
      <c r="D55" t="s">
        <v>62</v>
      </c>
      <c r="E55" t="s">
        <v>26</v>
      </c>
      <c r="F55" t="s">
        <v>27</v>
      </c>
      <c r="G55" t="s">
        <v>19</v>
      </c>
      <c r="H55">
        <v>5</v>
      </c>
      <c r="I55" s="3">
        <v>14500</v>
      </c>
      <c r="J55" s="4">
        <v>0.1</v>
      </c>
      <c r="K55" t="s">
        <v>71</v>
      </c>
      <c r="L55" t="s">
        <v>35</v>
      </c>
      <c r="M55" t="s">
        <v>56</v>
      </c>
      <c r="N55" t="s">
        <v>37</v>
      </c>
      <c r="P55" s="8">
        <f t="shared" si="0"/>
        <v>72500</v>
      </c>
    </row>
    <row r="56" spans="1:16" x14ac:dyDescent="0.25">
      <c r="A56" t="s">
        <v>146</v>
      </c>
      <c r="B56" s="2">
        <v>46294</v>
      </c>
      <c r="C56" t="s">
        <v>85</v>
      </c>
      <c r="D56" t="s">
        <v>94</v>
      </c>
      <c r="E56" t="s">
        <v>79</v>
      </c>
      <c r="F56" t="s">
        <v>80</v>
      </c>
      <c r="G56" t="s">
        <v>81</v>
      </c>
      <c r="H56">
        <v>2</v>
      </c>
      <c r="I56" s="3">
        <v>125000</v>
      </c>
      <c r="J56" s="4">
        <v>0.05</v>
      </c>
      <c r="K56" t="s">
        <v>43</v>
      </c>
      <c r="L56" t="s">
        <v>73</v>
      </c>
      <c r="M56" t="s">
        <v>56</v>
      </c>
      <c r="N56" t="s">
        <v>37</v>
      </c>
      <c r="P56" s="8">
        <f t="shared" si="0"/>
        <v>250000</v>
      </c>
    </row>
    <row r="57" spans="1:16" x14ac:dyDescent="0.25">
      <c r="A57" t="s">
        <v>147</v>
      </c>
      <c r="B57" s="2">
        <v>46280</v>
      </c>
      <c r="C57" t="s">
        <v>64</v>
      </c>
      <c r="D57" t="s">
        <v>30</v>
      </c>
      <c r="E57" t="s">
        <v>17</v>
      </c>
      <c r="F57" t="s">
        <v>18</v>
      </c>
      <c r="G57" t="s">
        <v>19</v>
      </c>
      <c r="H57">
        <v>2</v>
      </c>
      <c r="I57" s="3">
        <v>9500</v>
      </c>
      <c r="J57" s="4">
        <v>0</v>
      </c>
      <c r="K57" t="s">
        <v>20</v>
      </c>
      <c r="L57" t="s">
        <v>44</v>
      </c>
      <c r="M57" t="s">
        <v>36</v>
      </c>
      <c r="N57" t="s">
        <v>37</v>
      </c>
      <c r="P57" s="8">
        <f t="shared" si="0"/>
        <v>19000</v>
      </c>
    </row>
    <row r="58" spans="1:16" x14ac:dyDescent="0.25">
      <c r="A58" t="s">
        <v>148</v>
      </c>
      <c r="B58" s="2">
        <v>46292</v>
      </c>
      <c r="C58" t="s">
        <v>96</v>
      </c>
      <c r="D58" t="s">
        <v>94</v>
      </c>
      <c r="E58" t="s">
        <v>40</v>
      </c>
      <c r="F58" t="s">
        <v>41</v>
      </c>
      <c r="G58" t="s">
        <v>42</v>
      </c>
      <c r="H58">
        <v>5</v>
      </c>
      <c r="I58" s="3">
        <v>4500</v>
      </c>
      <c r="J58" s="4">
        <v>0.1</v>
      </c>
      <c r="K58" t="s">
        <v>20</v>
      </c>
      <c r="L58" t="s">
        <v>21</v>
      </c>
      <c r="M58" t="s">
        <v>22</v>
      </c>
      <c r="N58" t="s">
        <v>65</v>
      </c>
      <c r="P58" s="8">
        <f t="shared" si="0"/>
        <v>22500</v>
      </c>
    </row>
    <row r="59" spans="1:16" x14ac:dyDescent="0.25">
      <c r="A59" t="s">
        <v>149</v>
      </c>
      <c r="B59" s="2">
        <v>46288</v>
      </c>
      <c r="C59" t="s">
        <v>96</v>
      </c>
      <c r="D59" t="s">
        <v>105</v>
      </c>
      <c r="E59" t="s">
        <v>26</v>
      </c>
      <c r="F59" t="s">
        <v>27</v>
      </c>
      <c r="G59" t="s">
        <v>19</v>
      </c>
      <c r="H59">
        <v>4</v>
      </c>
      <c r="I59" s="3">
        <v>14500</v>
      </c>
      <c r="J59" s="4">
        <v>0</v>
      </c>
      <c r="K59" t="s">
        <v>71</v>
      </c>
      <c r="L59" t="s">
        <v>35</v>
      </c>
      <c r="M59" t="s">
        <v>36</v>
      </c>
      <c r="N59" t="s">
        <v>23</v>
      </c>
      <c r="P59" s="8">
        <f t="shared" si="0"/>
        <v>58000</v>
      </c>
    </row>
    <row r="60" spans="1:16" x14ac:dyDescent="0.25">
      <c r="A60" t="s">
        <v>150</v>
      </c>
      <c r="B60" s="2">
        <v>46297</v>
      </c>
      <c r="C60" t="s">
        <v>131</v>
      </c>
      <c r="D60" t="s">
        <v>94</v>
      </c>
      <c r="E60" t="s">
        <v>31</v>
      </c>
      <c r="F60" t="s">
        <v>32</v>
      </c>
      <c r="G60" t="s">
        <v>33</v>
      </c>
      <c r="H60">
        <v>3</v>
      </c>
      <c r="I60" s="3">
        <v>85000</v>
      </c>
      <c r="J60" s="4">
        <v>0.1</v>
      </c>
      <c r="K60" t="s">
        <v>71</v>
      </c>
      <c r="L60" t="s">
        <v>35</v>
      </c>
      <c r="M60" t="s">
        <v>36</v>
      </c>
      <c r="N60" t="s">
        <v>65</v>
      </c>
      <c r="P60" s="8">
        <f t="shared" si="0"/>
        <v>255000</v>
      </c>
    </row>
    <row r="61" spans="1:16" x14ac:dyDescent="0.25">
      <c r="A61" t="s">
        <v>151</v>
      </c>
      <c r="B61" s="2">
        <v>46267</v>
      </c>
      <c r="C61" t="s">
        <v>152</v>
      </c>
      <c r="D61" t="s">
        <v>30</v>
      </c>
      <c r="E61" t="s">
        <v>67</v>
      </c>
      <c r="F61" t="s">
        <v>68</v>
      </c>
      <c r="G61" t="s">
        <v>19</v>
      </c>
      <c r="H61">
        <v>5</v>
      </c>
      <c r="I61" s="3">
        <v>22000</v>
      </c>
      <c r="J61" s="4">
        <v>0.15</v>
      </c>
      <c r="K61" t="s">
        <v>34</v>
      </c>
      <c r="L61" t="s">
        <v>44</v>
      </c>
      <c r="M61" t="s">
        <v>52</v>
      </c>
      <c r="N61" t="s">
        <v>37</v>
      </c>
      <c r="P61" s="8">
        <f t="shared" si="0"/>
        <v>110000</v>
      </c>
    </row>
    <row r="62" spans="1:16" x14ac:dyDescent="0.25">
      <c r="H62">
        <f>SUM(H2:H61)</f>
        <v>159</v>
      </c>
      <c r="P62">
        <f>SUM(P2:P61)</f>
        <v>5187500</v>
      </c>
    </row>
    <row r="65" spans="8:13" x14ac:dyDescent="0.25">
      <c r="H65" t="s">
        <v>186</v>
      </c>
      <c r="K65" t="s">
        <v>191</v>
      </c>
    </row>
    <row r="66" spans="8:13" x14ac:dyDescent="0.25">
      <c r="H66" t="s">
        <v>187</v>
      </c>
      <c r="K66" t="s">
        <v>192</v>
      </c>
    </row>
    <row r="67" spans="8:13" x14ac:dyDescent="0.25">
      <c r="I67" s="11">
        <f>SUMIF(D2:D61,"Onitsha",P2:P62)</f>
        <v>821000</v>
      </c>
      <c r="M67" s="11">
        <f>SUMIFS(P2:P61,F2:F61,"Laptop Stand",D2:D61,"Onitsha")</f>
        <v>0</v>
      </c>
    </row>
    <row r="68" spans="8:13" x14ac:dyDescent="0.25">
      <c r="H68" t="s">
        <v>188</v>
      </c>
    </row>
    <row r="69" spans="8:13" x14ac:dyDescent="0.25">
      <c r="I69" s="11">
        <f>SUMIF(D2:D61,"Awka",P2:P62)</f>
        <v>658000</v>
      </c>
      <c r="K69" t="s">
        <v>193</v>
      </c>
    </row>
    <row r="70" spans="8:13" x14ac:dyDescent="0.25">
      <c r="H70" t="s">
        <v>189</v>
      </c>
      <c r="M70" s="11">
        <f>SUMIFS(P2:P61, F2:F61,"Keyboard",D2:D61,"Awka")</f>
        <v>14500</v>
      </c>
    </row>
    <row r="71" spans="8:13" x14ac:dyDescent="0.25">
      <c r="I71" s="11">
        <f>SUMIF(F2:F62,"Laptop Stand",P2:P62)</f>
        <v>216000</v>
      </c>
      <c r="K71" t="s">
        <v>194</v>
      </c>
    </row>
    <row r="72" spans="8:13" x14ac:dyDescent="0.25">
      <c r="H72" t="s">
        <v>190</v>
      </c>
      <c r="M72" s="11">
        <f>SUMIFS(P2:P61, F2:F61,"Office chair",D2:D61,"Onitsha")</f>
        <v>425000</v>
      </c>
    </row>
    <row r="73" spans="8:13" x14ac:dyDescent="0.25">
      <c r="I73" s="11">
        <f ca="1">SUMIF(D2:D62,"Phone",P2:P61)</f>
        <v>0</v>
      </c>
    </row>
    <row r="75" spans="8:13" x14ac:dyDescent="0.25">
      <c r="J75" t="s">
        <v>195</v>
      </c>
    </row>
    <row r="76" spans="8:13" x14ac:dyDescent="0.25">
      <c r="I76" t="s">
        <v>196</v>
      </c>
      <c r="K76" s="11">
        <f>MAX(P2:P61)</f>
        <v>500000</v>
      </c>
    </row>
    <row r="77" spans="8:13" x14ac:dyDescent="0.25">
      <c r="I77" t="s">
        <v>197</v>
      </c>
    </row>
    <row r="78" spans="8:13" x14ac:dyDescent="0.25">
      <c r="I78" t="s">
        <v>198</v>
      </c>
    </row>
    <row r="79" spans="8:13" x14ac:dyDescent="0.25">
      <c r="I79" t="s">
        <v>199</v>
      </c>
    </row>
  </sheetData>
  <autoFilter ref="A1:N61" xr:uid="{00000000-0009-0000-0000-000000000000}"/>
  <conditionalFormatting sqref="P1:P1048576">
    <cfRule type="cellIs" dxfId="0" priority="1" operator="greaterThan">
      <formula>449000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18" customWidth="1"/>
    <col min="4" max="4" width="20" customWidth="1"/>
  </cols>
  <sheetData>
    <row r="1" spans="1:4" x14ac:dyDescent="0.25">
      <c r="A1" s="5" t="s">
        <v>4</v>
      </c>
      <c r="B1" s="5" t="s">
        <v>5</v>
      </c>
      <c r="C1" s="5" t="s">
        <v>6</v>
      </c>
      <c r="D1" s="5" t="s">
        <v>8</v>
      </c>
    </row>
    <row r="2" spans="1:4" x14ac:dyDescent="0.25">
      <c r="A2" t="s">
        <v>76</v>
      </c>
      <c r="B2" t="s">
        <v>77</v>
      </c>
      <c r="C2" t="s">
        <v>19</v>
      </c>
      <c r="D2" s="3">
        <v>18000</v>
      </c>
    </row>
    <row r="3" spans="1:4" x14ac:dyDescent="0.25">
      <c r="A3" t="s">
        <v>17</v>
      </c>
      <c r="B3" t="s">
        <v>18</v>
      </c>
      <c r="C3" t="s">
        <v>19</v>
      </c>
      <c r="D3" s="3">
        <v>9500</v>
      </c>
    </row>
    <row r="4" spans="1:4" x14ac:dyDescent="0.25">
      <c r="A4" t="s">
        <v>67</v>
      </c>
      <c r="B4" t="s">
        <v>68</v>
      </c>
      <c r="C4" t="s">
        <v>19</v>
      </c>
      <c r="D4" s="3">
        <v>22000</v>
      </c>
    </row>
    <row r="5" spans="1:4" x14ac:dyDescent="0.25">
      <c r="A5" t="s">
        <v>31</v>
      </c>
      <c r="B5" t="s">
        <v>32</v>
      </c>
      <c r="C5" t="s">
        <v>33</v>
      </c>
      <c r="D5" s="3">
        <v>85000</v>
      </c>
    </row>
    <row r="6" spans="1:4" x14ac:dyDescent="0.25">
      <c r="A6" t="s">
        <v>54</v>
      </c>
      <c r="B6" t="s">
        <v>55</v>
      </c>
      <c r="C6" t="s">
        <v>33</v>
      </c>
      <c r="D6" s="3">
        <v>16000</v>
      </c>
    </row>
    <row r="7" spans="1:4" x14ac:dyDescent="0.25">
      <c r="A7" t="s">
        <v>40</v>
      </c>
      <c r="B7" t="s">
        <v>41</v>
      </c>
      <c r="C7" t="s">
        <v>42</v>
      </c>
      <c r="D7" s="3">
        <v>4500</v>
      </c>
    </row>
    <row r="8" spans="1:4" x14ac:dyDescent="0.25">
      <c r="A8" t="s">
        <v>26</v>
      </c>
      <c r="B8" t="s">
        <v>27</v>
      </c>
      <c r="C8" t="s">
        <v>19</v>
      </c>
      <c r="D8" s="3">
        <v>14500</v>
      </c>
    </row>
    <row r="9" spans="1:4" x14ac:dyDescent="0.25">
      <c r="A9" t="s">
        <v>79</v>
      </c>
      <c r="B9" t="s">
        <v>80</v>
      </c>
      <c r="C9" t="s">
        <v>81</v>
      </c>
      <c r="D9" s="3">
        <v>125000</v>
      </c>
    </row>
  </sheetData>
  <autoFilter ref="A1:D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5" customWidth="1"/>
  </cols>
  <sheetData>
    <row r="1" spans="1:2" ht="27.95" customHeight="1" x14ac:dyDescent="0.25">
      <c r="A1" s="9" t="s">
        <v>153</v>
      </c>
      <c r="B1" s="10"/>
    </row>
    <row r="2" spans="1:2" ht="42" customHeight="1" x14ac:dyDescent="0.25">
      <c r="A2" s="6" t="s">
        <v>154</v>
      </c>
      <c r="B2" s="6" t="s">
        <v>155</v>
      </c>
    </row>
    <row r="3" spans="1:2" ht="42" customHeight="1" x14ac:dyDescent="0.25">
      <c r="A3" s="6" t="s">
        <v>156</v>
      </c>
      <c r="B3" s="7" t="s">
        <v>157</v>
      </c>
    </row>
    <row r="4" spans="1:2" ht="42" customHeight="1" x14ac:dyDescent="0.25">
      <c r="A4" s="6" t="s">
        <v>158</v>
      </c>
      <c r="B4" s="7" t="s">
        <v>159</v>
      </c>
    </row>
    <row r="5" spans="1:2" ht="42" customHeight="1" x14ac:dyDescent="0.25">
      <c r="A5" s="6" t="s">
        <v>160</v>
      </c>
      <c r="B5" s="7" t="s">
        <v>161</v>
      </c>
    </row>
    <row r="6" spans="1:2" ht="42" customHeight="1" x14ac:dyDescent="0.25">
      <c r="A6" s="6" t="s">
        <v>162</v>
      </c>
      <c r="B6" s="7" t="s">
        <v>163</v>
      </c>
    </row>
    <row r="7" spans="1:2" ht="42" customHeight="1" x14ac:dyDescent="0.25">
      <c r="A7" s="6" t="s">
        <v>164</v>
      </c>
      <c r="B7" s="7" t="s">
        <v>165</v>
      </c>
    </row>
    <row r="8" spans="1:2" ht="42" customHeight="1" x14ac:dyDescent="0.25">
      <c r="A8" s="6" t="s">
        <v>166</v>
      </c>
      <c r="B8" s="7" t="s">
        <v>167</v>
      </c>
    </row>
    <row r="9" spans="1:2" ht="42" customHeight="1" x14ac:dyDescent="0.25">
      <c r="A9" s="6" t="s">
        <v>168</v>
      </c>
      <c r="B9" s="7" t="s">
        <v>169</v>
      </c>
    </row>
    <row r="10" spans="1:2" ht="42" customHeight="1" x14ac:dyDescent="0.25">
      <c r="A10" s="6" t="s">
        <v>170</v>
      </c>
      <c r="B10" s="7" t="s">
        <v>171</v>
      </c>
    </row>
    <row r="11" spans="1:2" ht="42" customHeight="1" x14ac:dyDescent="0.25">
      <c r="A11" s="6" t="s">
        <v>172</v>
      </c>
      <c r="B11" s="7" t="s">
        <v>173</v>
      </c>
    </row>
    <row r="12" spans="1:2" ht="42" customHeight="1" x14ac:dyDescent="0.25">
      <c r="A12" s="6" t="s">
        <v>174</v>
      </c>
      <c r="B12" s="7" t="s">
        <v>175</v>
      </c>
    </row>
    <row r="13" spans="1:2" ht="42" customHeight="1" x14ac:dyDescent="0.25">
      <c r="A13" s="6" t="s">
        <v>176</v>
      </c>
      <c r="B13" s="7" t="s">
        <v>177</v>
      </c>
    </row>
    <row r="14" spans="1:2" ht="42" customHeight="1" x14ac:dyDescent="0.25">
      <c r="A14" s="6" t="s">
        <v>178</v>
      </c>
      <c r="B14" s="7" t="s">
        <v>179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Product_Lookup</vt:lpstr>
      <vt:lpstr>Lesson_Guide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2026-10-12T13:32:54Z</dcterms:created>
  <dcterms:modified xsi:type="dcterms:W3CDTF">2026-10-16T22:52:19Z</dcterms:modified>
</cp:coreProperties>
</file>